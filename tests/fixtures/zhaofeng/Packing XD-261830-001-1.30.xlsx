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<sst xmlns="http://schemas.openxmlformats.org/spreadsheetml/2006/main" count="65" uniqueCount="50">
  <si>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r>
      <rPr>
        <b/>
        <sz val="16"/>
        <rFont val="宋体"/>
        <charset val="134"/>
      </rPr>
      <t>　　</t>
    </r>
    <r>
      <rPr>
        <b/>
        <sz val="16"/>
        <rFont val="Arial"/>
        <charset val="134"/>
      </rPr>
      <t>QINGDAO ZHAOFENG HOME FURNISHINGS CO.,LTD.</t>
    </r>
    <r>
      <rPr>
        <b/>
        <sz val="16"/>
        <rFont val="宋体"/>
        <charset val="134"/>
      </rPr>
      <t>　　</t>
    </r>
  </si>
  <si>
    <t>Unit 1210, Building 2,International Development Centre, No.36 Miaoling Road,Laoshan District,Qingdao,Shandong, China, 266061 Tel: +86-532-68721025 Fax: +86-532-68721055</t>
  </si>
  <si>
    <t>PACKING LIST</t>
  </si>
  <si>
    <t>TO:   CAINZ CORPORATION</t>
  </si>
  <si>
    <t>INVOICE No.</t>
  </si>
  <si>
    <t>VK26F01F2-2</t>
  </si>
  <si>
    <t>1-2-1 WASEDANOMORI, HONJO-SHI, SAITAMA, JAPAN</t>
  </si>
  <si>
    <t>DATE</t>
  </si>
  <si>
    <t>FROM</t>
  </si>
  <si>
    <t>QINGDAO, CHINA</t>
  </si>
  <si>
    <t>VESSEL &amp; VOY No.</t>
  </si>
  <si>
    <t>PO NO.</t>
  </si>
  <si>
    <t>XD-261830-001</t>
  </si>
  <si>
    <r>
      <rPr>
        <b/>
        <sz val="10"/>
        <rFont val="Arial"/>
        <charset val="134"/>
      </rPr>
      <t xml:space="preserve">MARKS &amp; NUMBERS: </t>
    </r>
    <r>
      <rPr>
        <sz val="10"/>
        <rFont val="Arial"/>
        <charset val="134"/>
      </rPr>
      <t>N/M</t>
    </r>
  </si>
  <si>
    <t>JAN CODE No.</t>
  </si>
  <si>
    <t>DESCRIPTION OF GOODS</t>
  </si>
  <si>
    <t>QUANTITY</t>
  </si>
  <si>
    <t>UNIT</t>
  </si>
  <si>
    <t>PACKAGES</t>
  </si>
  <si>
    <t>NET WEIGHT</t>
  </si>
  <si>
    <t>GROSS WEIGHT</t>
  </si>
  <si>
    <t>MESUREMENT</t>
  </si>
  <si>
    <t>(CTN)</t>
  </si>
  <si>
    <t>(KG)</t>
  </si>
  <si>
    <t>(M3)</t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</si>
  <si>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</t>
    </r>
  </si>
  <si>
    <t>PCS</t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</si>
  <si>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浅型</t>
    </r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</si>
  <si>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</t>
    </r>
    <r>
      <rPr>
        <sz val="10"/>
        <rFont val="MS Gothic"/>
        <charset val="134"/>
      </rPr>
      <t>ハーフ</t>
    </r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</si>
  <si>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Ｓ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</si>
  <si>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</si>
  <si>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浅型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</si>
  <si>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</t>
    </r>
    <r>
      <rPr>
        <sz val="10"/>
        <rFont val="MS Gothic"/>
        <charset val="134"/>
      </rPr>
      <t>ハーフ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</si>
  <si>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Ｓ</t>
    </r>
  </si>
  <si>
    <t>4549509729358</t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</si>
  <si>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用</t>
    </r>
    <r>
      <rPr>
        <sz val="10"/>
        <rFont val="MS Gothic"/>
        <charset val="134"/>
      </rPr>
      <t>フタ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</t>
    </r>
  </si>
  <si>
    <t>4549509729365</t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</si>
  <si>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用</t>
    </r>
    <r>
      <rPr>
        <sz val="10"/>
        <rFont val="MS Gothic"/>
        <charset val="134"/>
      </rPr>
      <t>フタ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ＰＰ（ベージュ）</t>
    </r>
  </si>
  <si>
    <t>4549509769378</t>
  </si>
  <si>
    <t>持ち運べるスリムインナーボックスPP BR</t>
  </si>
  <si>
    <t>4549509769385</t>
  </si>
  <si>
    <t>持ち運べるスリムインナーボックスPP BE</t>
  </si>
  <si>
    <t>4550596103495</t>
  </si>
  <si>
    <t>ラタン風インナ-ボックス BR</t>
  </si>
  <si>
    <t>4550596103501</t>
  </si>
  <si>
    <t>ラタン風インナ-ボックス 浅型 BR</t>
  </si>
  <si>
    <r>
      <rPr>
        <sz val="10"/>
        <rFont val="ＭＳ Ｐゴシック"/>
        <charset val="134"/>
      </rPr>
      <t>　</t>
    </r>
    <r>
      <rPr>
        <sz val="10"/>
        <rFont val="Arial"/>
        <charset val="134"/>
      </rPr>
      <t>SUBTOTAL</t>
    </r>
  </si>
  <si>
    <t>TOTAL</t>
  </si>
  <si>
    <t>496CTNS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</si>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</sst>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#,##0.000_);[Red]\(#,##0.000\)"/>
    <numFmt numFmtId="178" formatCode="0.000"/>
    <numFmt numFmtId="179" formatCode="0_);[Red]\(0\)"/>
  </numFmts>
  <fonts count="3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宋体"/>
      <charset val="134"/>
    </font>
    <font>
      <b/>
      <sz val="16"/>
      <name val="Arial"/>
      <charset val="134"/>
    </font>
    <font>
      <sz val="11"/>
      <name val="Arial"/>
      <charset val="134"/>
    </font>
    <font>
      <b/>
      <sz val="17.5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9"/>
      <name val="Arial"/>
      <charset val="134"/>
    </font>
    <font>
      <b/>
      <sz val="11"/>
      <color rgb="FFFF0000"/>
      <name val="ＭＳ Ｐゴシック"/>
      <charset val="134"/>
    </font>
    <font>
      <sz val="10"/>
      <name val="MS Gothic"/>
      <charset val="134"/>
    </font>
    <font>
      <sz val="9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0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medium">
        <color auto="1"/>
      </right>
      <top style="double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7" applyNumberFormat="0" applyAlignment="0" applyProtection="0">
      <alignment vertical="center"/>
    </xf>
    <xf numFmtId="0" fontId="21" fillId="4" borderId="48" applyNumberFormat="0" applyAlignment="0" applyProtection="0">
      <alignment vertical="center"/>
    </xf>
    <xf numFmtId="0" fontId="22" fillId="4" borderId="47" applyNumberFormat="0" applyAlignment="0" applyProtection="0">
      <alignment vertical="center"/>
    </xf>
    <xf numFmtId="0" fontId="23" fillId="5" borderId="49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Fill="1" applyAlignment="1">
      <alignment vertical="center" shrinkToFit="1"/>
    </xf>
    <xf numFmtId="0" fontId="0" fillId="0" borderId="0" xfId="0" applyFill="1"/>
    <xf numFmtId="0" fontId="0" fillId="0" borderId="0" xfId="0" applyFill="1" applyAlignment="1">
      <alignment vertical="center" shrinkToFit="1"/>
    </xf>
    <xf numFmtId="0" fontId="0" fillId="0" borderId="0" xfId="0" applyFont="1" applyFill="1" applyAlignment="1">
      <alignment vertical="center" shrinkToFit="1"/>
    </xf>
    <xf numFmtId="176" fontId="0" fillId="0" borderId="0" xfId="0" applyNumberFormat="1" applyFill="1" applyAlignment="1">
      <alignment vertical="center" shrinkToFit="1"/>
    </xf>
    <xf numFmtId="177" fontId="0" fillId="0" borderId="0" xfId="0" applyNumberFormat="1" applyFill="1" applyAlignment="1">
      <alignment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176" fontId="6" fillId="0" borderId="3" xfId="0" applyNumberFormat="1" applyFont="1" applyFill="1" applyBorder="1" applyAlignment="1">
      <alignment vertical="center" shrinkToFit="1"/>
    </xf>
    <xf numFmtId="0" fontId="7" fillId="0" borderId="3" xfId="0" applyFont="1" applyFill="1" applyBorder="1" applyAlignment="1">
      <alignment horizontal="left" vertical="center" shrinkToFit="1"/>
    </xf>
    <xf numFmtId="0" fontId="7" fillId="0" borderId="4" xfId="0" applyFont="1" applyFill="1" applyBorder="1" applyAlignment="1">
      <alignment horizontal="left" vertical="center" shrinkToFit="1"/>
    </xf>
    <xf numFmtId="0" fontId="6" fillId="0" borderId="5" xfId="0" applyFont="1" applyFill="1" applyBorder="1" applyAlignment="1">
      <alignment horizontal="left" vertical="center" shrinkToFit="1"/>
    </xf>
    <xf numFmtId="0" fontId="6" fillId="0" borderId="0" xfId="0" applyFont="1" applyFill="1" applyBorder="1" applyAlignment="1">
      <alignment horizontal="left" vertical="center" shrinkToFit="1"/>
    </xf>
    <xf numFmtId="176" fontId="6" fillId="0" borderId="6" xfId="0" applyNumberFormat="1" applyFont="1" applyFill="1" applyBorder="1" applyAlignment="1">
      <alignment vertical="center" shrinkToFit="1"/>
    </xf>
    <xf numFmtId="14" fontId="7" fillId="0" borderId="6" xfId="0" applyNumberFormat="1" applyFont="1" applyFill="1" applyBorder="1" applyAlignment="1">
      <alignment horizontal="left" vertical="top" shrinkToFit="1"/>
    </xf>
    <xf numFmtId="14" fontId="7" fillId="0" borderId="7" xfId="0" applyNumberFormat="1" applyFont="1" applyFill="1" applyBorder="1" applyAlignment="1">
      <alignment horizontal="left" vertical="top" shrinkToFit="1"/>
    </xf>
    <xf numFmtId="0" fontId="7" fillId="0" borderId="6" xfId="0" applyFont="1" applyFill="1" applyBorder="1" applyAlignment="1">
      <alignment horizontal="left" vertical="center" shrinkToFit="1"/>
    </xf>
    <xf numFmtId="0" fontId="7" fillId="0" borderId="7" xfId="0" applyFont="1" applyFill="1" applyBorder="1" applyAlignment="1">
      <alignment horizontal="left" vertical="center" shrinkToFit="1"/>
    </xf>
    <xf numFmtId="0" fontId="6" fillId="0" borderId="8" xfId="0" applyFont="1" applyFill="1" applyBorder="1" applyAlignment="1">
      <alignment horizontal="left" vertical="center" shrinkToFit="1"/>
    </xf>
    <xf numFmtId="0" fontId="6" fillId="0" borderId="9" xfId="0" applyFont="1" applyFill="1" applyBorder="1" applyAlignment="1">
      <alignment horizontal="left" vertical="center" shrinkToFit="1"/>
    </xf>
    <xf numFmtId="0" fontId="6" fillId="0" borderId="10" xfId="0" applyFont="1" applyFill="1" applyBorder="1" applyAlignment="1">
      <alignment horizontal="left" vertical="center" shrinkToFit="1"/>
    </xf>
    <xf numFmtId="0" fontId="7" fillId="0" borderId="11" xfId="0" applyFont="1" applyFill="1" applyBorder="1" applyAlignment="1">
      <alignment horizontal="left" vertical="center" shrinkToFit="1"/>
    </xf>
    <xf numFmtId="0" fontId="7" fillId="0" borderId="9" xfId="0" applyFont="1" applyFill="1" applyBorder="1" applyAlignment="1">
      <alignment horizontal="left" vertical="center" shrinkToFit="1"/>
    </xf>
    <xf numFmtId="0" fontId="7" fillId="0" borderId="10" xfId="0" applyFont="1" applyFill="1" applyBorder="1" applyAlignment="1">
      <alignment horizontal="left" vertical="center" shrinkToFit="1"/>
    </xf>
    <xf numFmtId="176" fontId="6" fillId="0" borderId="12" xfId="0" applyNumberFormat="1" applyFont="1" applyFill="1" applyBorder="1" applyAlignment="1">
      <alignment vertical="center" shrinkToFit="1"/>
    </xf>
    <xf numFmtId="0" fontId="7" fillId="0" borderId="13" xfId="0" applyFont="1" applyFill="1" applyBorder="1" applyAlignment="1">
      <alignment horizontal="left" vertical="center" shrinkToFit="1"/>
    </xf>
    <xf numFmtId="0" fontId="7" fillId="0" borderId="14" xfId="0" applyFont="1" applyFill="1" applyBorder="1" applyAlignment="1">
      <alignment horizontal="left" vertical="center" shrinkToFit="1"/>
    </xf>
    <xf numFmtId="0" fontId="6" fillId="0" borderId="15" xfId="0" applyFont="1" applyFill="1" applyBorder="1" applyAlignment="1">
      <alignment horizontal="left" vertical="center" shrinkToFit="1"/>
    </xf>
    <xf numFmtId="0" fontId="6" fillId="0" borderId="16" xfId="0" applyFont="1" applyFill="1" applyBorder="1" applyAlignment="1">
      <alignment horizontal="left" vertical="center" shrinkToFit="1"/>
    </xf>
    <xf numFmtId="0" fontId="6" fillId="0" borderId="17" xfId="0" applyFont="1" applyFill="1" applyBorder="1" applyAlignment="1">
      <alignment horizontal="left" vertical="center" shrinkToFit="1"/>
    </xf>
    <xf numFmtId="0" fontId="8" fillId="0" borderId="18" xfId="0" applyFont="1" applyFill="1" applyBorder="1" applyAlignment="1">
      <alignment horizontal="center" vertical="center" shrinkToFit="1"/>
    </xf>
    <xf numFmtId="0" fontId="8" fillId="0" borderId="19" xfId="0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center" shrinkToFit="1"/>
    </xf>
    <xf numFmtId="0" fontId="8" fillId="0" borderId="21" xfId="0" applyFont="1" applyFill="1" applyBorder="1" applyAlignment="1">
      <alignment horizontal="center" vertical="center" shrinkToFit="1"/>
    </xf>
    <xf numFmtId="176" fontId="8" fillId="0" borderId="19" xfId="0" applyNumberFormat="1" applyFont="1" applyFill="1" applyBorder="1" applyAlignment="1">
      <alignment horizontal="center" vertical="center" shrinkToFit="1"/>
    </xf>
    <xf numFmtId="177" fontId="8" fillId="0" borderId="19" xfId="0" applyNumberFormat="1" applyFont="1" applyFill="1" applyBorder="1" applyAlignment="1">
      <alignment horizontal="center" vertical="center" shrinkToFit="1"/>
    </xf>
    <xf numFmtId="0" fontId="8" fillId="0" borderId="22" xfId="0" applyFont="1" applyFill="1" applyBorder="1" applyAlignment="1">
      <alignment horizontal="center" vertical="center" shrinkToFit="1"/>
    </xf>
    <xf numFmtId="0" fontId="8" fillId="0" borderId="23" xfId="0" applyFont="1" applyFill="1" applyBorder="1" applyAlignment="1">
      <alignment vertical="center" shrinkToFit="1"/>
    </xf>
    <xf numFmtId="0" fontId="8" fillId="0" borderId="24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center" vertical="center" shrinkToFit="1"/>
    </xf>
    <xf numFmtId="0" fontId="8" fillId="0" borderId="24" xfId="0" applyFont="1" applyFill="1" applyBorder="1" applyAlignment="1">
      <alignment vertical="center" shrinkToFit="1"/>
    </xf>
    <xf numFmtId="176" fontId="8" fillId="0" borderId="24" xfId="0" applyNumberFormat="1" applyFont="1" applyFill="1" applyBorder="1" applyAlignment="1">
      <alignment horizontal="center" vertical="center" shrinkToFit="1"/>
    </xf>
    <xf numFmtId="177" fontId="8" fillId="0" borderId="26" xfId="0" applyNumberFormat="1" applyFont="1" applyFill="1" applyBorder="1" applyAlignment="1">
      <alignment horizontal="center" vertical="center" shrinkToFit="1"/>
    </xf>
    <xf numFmtId="0" fontId="8" fillId="0" borderId="27" xfId="0" applyFont="1" applyFill="1" applyBorder="1" applyAlignment="1">
      <alignment horizontal="center" vertical="center" shrinkToFit="1"/>
    </xf>
    <xf numFmtId="1" fontId="9" fillId="0" borderId="28" xfId="0" applyNumberFormat="1" applyFont="1" applyFill="1" applyBorder="1" applyAlignment="1">
      <alignment horizontal="left" vertical="center" shrinkToFit="1"/>
    </xf>
    <xf numFmtId="0" fontId="4" fillId="0" borderId="29" xfId="0" applyFont="1" applyFill="1" applyBorder="1" applyAlignment="1">
      <alignment horizontal="left" vertical="center" shrinkToFit="1"/>
    </xf>
    <xf numFmtId="3" fontId="4" fillId="0" borderId="29" xfId="0" applyNumberFormat="1" applyFont="1" applyFill="1" applyBorder="1" applyAlignment="1">
      <alignment horizontal="center" vertical="center" shrinkToFit="1"/>
    </xf>
    <xf numFmtId="0" fontId="7" fillId="0" borderId="29" xfId="0" applyFont="1" applyFill="1" applyBorder="1" applyAlignment="1">
      <alignment horizontal="center" vertical="center" shrinkToFit="1"/>
    </xf>
    <xf numFmtId="0" fontId="4" fillId="0" borderId="29" xfId="0" applyFont="1" applyFill="1" applyBorder="1" applyAlignment="1">
      <alignment horizontal="center" vertical="center" shrinkToFit="1"/>
    </xf>
    <xf numFmtId="176" fontId="4" fillId="0" borderId="29" xfId="0" applyNumberFormat="1" applyFont="1" applyFill="1" applyBorder="1" applyAlignment="1">
      <alignment horizontal="center" vertical="center" shrinkToFit="1"/>
    </xf>
    <xf numFmtId="177" fontId="4" fillId="0" borderId="29" xfId="0" applyNumberFormat="1" applyFont="1" applyFill="1" applyBorder="1" applyAlignment="1">
      <alignment horizontal="center" vertical="center" shrinkToFit="1"/>
    </xf>
    <xf numFmtId="178" fontId="4" fillId="0" borderId="30" xfId="0" applyNumberFormat="1" applyFont="1" applyFill="1" applyBorder="1" applyAlignment="1">
      <alignment horizontal="center" vertical="center" shrinkToFit="1"/>
    </xf>
    <xf numFmtId="179" fontId="7" fillId="0" borderId="5" xfId="0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 shrinkToFit="1"/>
    </xf>
    <xf numFmtId="177" fontId="7" fillId="0" borderId="0" xfId="0" applyNumberFormat="1" applyFont="1" applyFill="1" applyBorder="1" applyAlignment="1">
      <alignment horizontal="center" vertical="center" shrinkToFit="1"/>
    </xf>
    <xf numFmtId="178" fontId="7" fillId="0" borderId="27" xfId="0" applyNumberFormat="1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 vertical="center" shrinkToFit="1"/>
    </xf>
    <xf numFmtId="1" fontId="7" fillId="0" borderId="5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right" vertical="center" shrinkToFit="1"/>
    </xf>
    <xf numFmtId="3" fontId="7" fillId="0" borderId="0" xfId="0" applyNumberFormat="1" applyFont="1" applyFill="1" applyBorder="1" applyAlignment="1">
      <alignment horizontal="center" vertical="center" shrinkToFit="1"/>
    </xf>
    <xf numFmtId="0" fontId="7" fillId="0" borderId="31" xfId="0" applyFont="1" applyFill="1" applyBorder="1" applyAlignment="1">
      <alignment vertical="center" shrinkToFit="1"/>
    </xf>
    <xf numFmtId="0" fontId="7" fillId="0" borderId="32" xfId="0" applyFont="1" applyFill="1" applyBorder="1" applyAlignment="1">
      <alignment horizontal="left" vertical="center" shrinkToFit="1"/>
    </xf>
    <xf numFmtId="0" fontId="7" fillId="0" borderId="32" xfId="0" applyFont="1" applyFill="1" applyBorder="1" applyAlignment="1">
      <alignment horizontal="center" vertical="center" shrinkToFit="1"/>
    </xf>
    <xf numFmtId="0" fontId="7" fillId="0" borderId="32" xfId="0" applyFont="1" applyFill="1" applyBorder="1" applyAlignment="1">
      <alignment vertical="center" shrinkToFit="1"/>
    </xf>
    <xf numFmtId="176" fontId="7" fillId="0" borderId="32" xfId="0" applyNumberFormat="1" applyFont="1" applyFill="1" applyBorder="1" applyAlignment="1">
      <alignment vertical="center" shrinkToFit="1"/>
    </xf>
    <xf numFmtId="177" fontId="7" fillId="0" borderId="32" xfId="0" applyNumberFormat="1" applyFont="1" applyFill="1" applyBorder="1" applyAlignment="1">
      <alignment vertical="center" shrinkToFit="1"/>
    </xf>
    <xf numFmtId="0" fontId="7" fillId="0" borderId="14" xfId="0" applyFont="1" applyFill="1" applyBorder="1" applyAlignment="1">
      <alignment vertical="center" shrinkToFit="1"/>
    </xf>
    <xf numFmtId="0" fontId="7" fillId="0" borderId="8" xfId="0" applyFont="1" applyFill="1" applyBorder="1" applyAlignment="1">
      <alignment horizontal="left" vertical="center" shrinkToFit="1"/>
    </xf>
    <xf numFmtId="176" fontId="7" fillId="0" borderId="9" xfId="0" applyNumberFormat="1" applyFont="1" applyFill="1" applyBorder="1" applyAlignment="1">
      <alignment horizontal="left" vertical="center" shrinkToFit="1"/>
    </xf>
    <xf numFmtId="177" fontId="7" fillId="0" borderId="9" xfId="0" applyNumberFormat="1" applyFont="1" applyFill="1" applyBorder="1" applyAlignment="1">
      <alignment horizontal="left" vertical="center" shrinkToFit="1"/>
    </xf>
    <xf numFmtId="0" fontId="7" fillId="0" borderId="33" xfId="0" applyFont="1" applyFill="1" applyBorder="1" applyAlignment="1">
      <alignment horizontal="left" vertical="center" shrinkToFit="1"/>
    </xf>
    <xf numFmtId="0" fontId="6" fillId="0" borderId="34" xfId="0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right" vertical="center" shrinkToFit="1"/>
    </xf>
    <xf numFmtId="0" fontId="6" fillId="0" borderId="36" xfId="0" applyFont="1" applyFill="1" applyBorder="1" applyAlignment="1">
      <alignment horizontal="right" vertical="center" shrinkToFit="1"/>
    </xf>
    <xf numFmtId="0" fontId="7" fillId="0" borderId="37" xfId="0" applyFont="1" applyFill="1" applyBorder="1" applyAlignment="1">
      <alignment horizontal="center" vertical="center" shrinkToFit="1"/>
    </xf>
    <xf numFmtId="176" fontId="7" fillId="0" borderId="37" xfId="0" applyNumberFormat="1" applyFont="1" applyFill="1" applyBorder="1" applyAlignment="1">
      <alignment horizontal="center" vertical="center" shrinkToFit="1"/>
    </xf>
    <xf numFmtId="177" fontId="7" fillId="0" borderId="37" xfId="0" applyNumberFormat="1" applyFont="1" applyFill="1" applyBorder="1" applyAlignment="1">
      <alignment horizontal="center" vertical="center" shrinkToFit="1"/>
    </xf>
    <xf numFmtId="178" fontId="7" fillId="0" borderId="38" xfId="0" applyNumberFormat="1" applyFont="1" applyFill="1" applyBorder="1" applyAlignment="1">
      <alignment horizontal="center" vertical="center" shrinkToFit="1"/>
    </xf>
    <xf numFmtId="0" fontId="7" fillId="0" borderId="39" xfId="0" applyFont="1" applyFill="1" applyBorder="1" applyAlignment="1">
      <alignment vertical="center" shrinkToFit="1"/>
    </xf>
    <xf numFmtId="0" fontId="7" fillId="0" borderId="40" xfId="0" applyFont="1" applyFill="1" applyBorder="1" applyAlignment="1">
      <alignment vertical="center" shrinkToFit="1"/>
    </xf>
    <xf numFmtId="0" fontId="7" fillId="0" borderId="41" xfId="0" applyFont="1" applyFill="1" applyBorder="1" applyAlignment="1">
      <alignment vertical="center" shrinkToFit="1"/>
    </xf>
    <xf numFmtId="0" fontId="7" fillId="0" borderId="42" xfId="0" applyFont="1" applyFill="1" applyBorder="1" applyAlignment="1">
      <alignment vertical="center" shrinkToFit="1"/>
    </xf>
    <xf numFmtId="176" fontId="7" fillId="0" borderId="42" xfId="0" applyNumberFormat="1" applyFont="1" applyFill="1" applyBorder="1" applyAlignment="1">
      <alignment vertical="center" shrinkToFit="1"/>
    </xf>
    <xf numFmtId="177" fontId="7" fillId="0" borderId="42" xfId="0" applyNumberFormat="1" applyFont="1" applyFill="1" applyBorder="1" applyAlignment="1">
      <alignment vertical="center" shrinkToFit="1"/>
    </xf>
    <xf numFmtId="0" fontId="7" fillId="0" borderId="43" xfId="0" applyFont="1" applyFill="1" applyBorder="1" applyAlignment="1">
      <alignment vertical="center" shrinkToFit="1"/>
    </xf>
    <xf numFmtId="0" fontId="7" fillId="0" borderId="0" xfId="0" applyFont="1" applyFill="1" applyAlignment="1">
      <alignment vertical="center" shrinkToFit="1"/>
    </xf>
    <xf numFmtId="0" fontId="11" fillId="0" borderId="0" xfId="0" applyFont="1" applyFill="1" applyBorder="1" applyAlignment="1">
      <alignment horizontal="left" vertical="center" shrinkToFit="1"/>
    </xf>
    <xf numFmtId="176" fontId="7" fillId="0" borderId="0" xfId="0" applyNumberFormat="1" applyFont="1" applyFill="1" applyAlignment="1">
      <alignment vertical="center" shrinkToFit="1"/>
    </xf>
    <xf numFmtId="177" fontId="7" fillId="0" borderId="0" xfId="0" applyNumberFormat="1" applyFont="1" applyFill="1" applyAlignment="1">
      <alignment vertical="center" shrinkToFit="1"/>
    </xf>
    <xf numFmtId="0" fontId="7" fillId="0" borderId="5" xfId="0" applyFont="1" applyFill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32</xdr:row>
      <xdr:rowOff>57150</xdr:rowOff>
    </xdr:from>
    <xdr:to>
      <xdr:col>11</xdr:col>
      <xdr:colOff>320675</xdr:colOff>
      <xdr:row>40</xdr:row>
      <xdr:rowOff>120462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076950" y="6965950"/>
          <a:ext cx="2282825" cy="148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L35"/>
  <sheetViews>
    <sheetView tabSelected="1" topLeftCell="D14" workbookViewId="0">
      <selection activeCell="I30" sqref="I30"/>
    </sheetView>
  </sheetViews>
  <sheetFormatPr defaultColWidth="9" defaultRowHeight="14"/>
  <cols>
    <col min="1" max="1" width="16.625" style="3" customWidth="1"/>
    <col min="2" max="5" width="6.75" style="3" customWidth="1"/>
    <col min="6" max="6" width="12.375" style="3" customWidth="1"/>
    <col min="7" max="7" width="8" style="3" customWidth="1"/>
    <col min="8" max="8" width="7" style="3" customWidth="1"/>
    <col min="9" max="9" width="8.75" style="3" customWidth="1"/>
    <col min="10" max="10" width="11.5" style="5" customWidth="1"/>
    <col min="11" max="11" width="14.25" style="6" customWidth="1"/>
    <col min="12" max="12" width="13" style="3" customWidth="1"/>
    <col min="13" max="16384" width="9" style="3"/>
  </cols>
  <sheetData>
    <row r="2" ht="21" spans="1:1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23.25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13.5" customHeight="1" spans="1:12">
      <c r="A5" s="11" t="s">
        <v>3</v>
      </c>
      <c r="B5" s="12"/>
      <c r="C5" s="12"/>
      <c r="D5" s="12"/>
      <c r="E5" s="12"/>
      <c r="F5" s="12"/>
      <c r="G5" s="12"/>
      <c r="H5" s="12"/>
      <c r="I5" s="12"/>
      <c r="J5" s="13" t="s">
        <v>4</v>
      </c>
      <c r="K5" s="14" t="s">
        <v>5</v>
      </c>
      <c r="L5" s="15"/>
    </row>
    <row r="6" ht="13.5" customHeight="1" spans="1:12">
      <c r="A6" s="16" t="s">
        <v>6</v>
      </c>
      <c r="B6" s="17"/>
      <c r="C6" s="17"/>
      <c r="D6" s="17"/>
      <c r="E6" s="17"/>
      <c r="F6" s="17"/>
      <c r="G6" s="17"/>
      <c r="H6" s="17"/>
      <c r="I6" s="17"/>
      <c r="J6" s="18" t="s">
        <v>7</v>
      </c>
      <c r="K6" s="19">
        <v>46052</v>
      </c>
      <c r="L6" s="20"/>
    </row>
    <row r="7" ht="13.5" customHeight="1" spans="1:12">
      <c r="A7" s="16"/>
      <c r="B7" s="17"/>
      <c r="C7" s="17"/>
      <c r="D7" s="17"/>
      <c r="E7" s="17"/>
      <c r="F7" s="17"/>
      <c r="G7" s="17"/>
      <c r="H7" s="17"/>
      <c r="I7" s="17"/>
      <c r="J7" s="18" t="s">
        <v>8</v>
      </c>
      <c r="K7" s="21" t="s">
        <v>9</v>
      </c>
      <c r="L7" s="22"/>
    </row>
    <row r="8" ht="13.5" customHeight="1" spans="1:12">
      <c r="A8" s="23" t="s">
        <v>10</v>
      </c>
      <c r="B8" s="24"/>
      <c r="C8" s="25"/>
      <c r="D8" s="26"/>
      <c r="E8" s="27"/>
      <c r="F8" s="27"/>
      <c r="G8" s="27"/>
      <c r="H8" s="27"/>
      <c r="I8" s="28"/>
      <c r="J8" s="29" t="s">
        <v>11</v>
      </c>
      <c r="K8" s="30" t="s">
        <v>12</v>
      </c>
      <c r="L8" s="31"/>
    </row>
    <row r="9" ht="13.5" customHeight="1" spans="1:12">
      <c r="A9" s="32" t="s">
        <v>13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>
      <c r="A10" s="35" t="s">
        <v>14</v>
      </c>
      <c r="B10" s="36" t="s">
        <v>15</v>
      </c>
      <c r="C10" s="37"/>
      <c r="D10" s="37"/>
      <c r="E10" s="37"/>
      <c r="F10" s="38"/>
      <c r="G10" s="39" t="s">
        <v>16</v>
      </c>
      <c r="H10" s="39" t="s">
        <v>17</v>
      </c>
      <c r="I10" s="39" t="s">
        <v>18</v>
      </c>
      <c r="J10" s="40" t="s">
        <v>19</v>
      </c>
      <c r="K10" s="41" t="s">
        <v>20</v>
      </c>
      <c r="L10" s="42" t="s">
        <v>21</v>
      </c>
    </row>
    <row r="11" ht="14.75" spans="1:12">
      <c r="A11" s="43"/>
      <c r="B11" s="44"/>
      <c r="C11" s="45"/>
      <c r="D11" s="45"/>
      <c r="E11" s="45"/>
      <c r="F11" s="46"/>
      <c r="G11" s="47"/>
      <c r="H11" s="47"/>
      <c r="I11" s="44" t="s">
        <v>22</v>
      </c>
      <c r="J11" s="48" t="s">
        <v>23</v>
      </c>
      <c r="K11" s="49" t="s">
        <v>23</v>
      </c>
      <c r="L11" s="50" t="s">
        <v>24</v>
      </c>
    </row>
    <row r="12" ht="18.75" customHeight="1" spans="1:12">
      <c r="A12" s="51"/>
      <c r="B12" s="52"/>
      <c r="C12" s="52"/>
      <c r="D12" s="52"/>
      <c r="E12" s="52"/>
      <c r="F12" s="52"/>
      <c r="G12" s="53"/>
      <c r="H12" s="54"/>
      <c r="I12" s="55"/>
      <c r="J12" s="56"/>
      <c r="K12" s="57"/>
      <c r="L12" s="58"/>
    </row>
    <row r="13" ht="18.75" customHeight="1" spans="1:12">
      <c r="A13" s="59">
        <v>4549509623861</v>
      </c>
      <c r="B13" s="60" t="s">
        <v>25</v>
      </c>
      <c r="C13" s="61"/>
      <c r="D13" s="61"/>
      <c r="E13" s="61"/>
      <c r="F13" s="61"/>
      <c r="G13" s="61">
        <f>I13*6</f>
        <v>0</v>
      </c>
      <c r="H13" s="61" t="s">
        <v>26</v>
      </c>
      <c r="I13" s="61">
        <v>0</v>
      </c>
      <c r="J13" s="62">
        <f>3.893*I13</f>
        <v>0</v>
      </c>
      <c r="K13" s="63">
        <f>4.86*I13</f>
        <v>0</v>
      </c>
      <c r="L13" s="64">
        <f>0.54*0.42*0.5*I13</f>
        <v>0</v>
      </c>
    </row>
    <row r="14" ht="18.75" customHeight="1" spans="1:12">
      <c r="A14" s="59">
        <v>4549509623878</v>
      </c>
      <c r="B14" s="60" t="s">
        <v>27</v>
      </c>
      <c r="C14" s="61"/>
      <c r="D14" s="61"/>
      <c r="E14" s="61"/>
      <c r="F14" s="61"/>
      <c r="G14" s="61">
        <f>I14*6</f>
        <v>0</v>
      </c>
      <c r="H14" s="61" t="s">
        <v>26</v>
      </c>
      <c r="I14" s="61">
        <v>0</v>
      </c>
      <c r="J14" s="62">
        <f>3.048*I14</f>
        <v>0</v>
      </c>
      <c r="K14" s="63">
        <f>3.8*I14</f>
        <v>0</v>
      </c>
      <c r="L14" s="64">
        <f>0.68*0.28*0.42*I14</f>
        <v>0</v>
      </c>
    </row>
    <row r="15" ht="18.75" customHeight="1" spans="1:12">
      <c r="A15" s="59">
        <v>4549509623885</v>
      </c>
      <c r="B15" s="60" t="s">
        <v>28</v>
      </c>
      <c r="C15" s="61"/>
      <c r="D15" s="61"/>
      <c r="E15" s="61"/>
      <c r="F15" s="61"/>
      <c r="G15" s="61">
        <f t="shared" ref="G14:G26" si="0">I15*6</f>
        <v>0</v>
      </c>
      <c r="H15" s="61" t="s">
        <v>26</v>
      </c>
      <c r="I15" s="61">
        <v>0</v>
      </c>
      <c r="J15" s="61">
        <f>2.833*I15</f>
        <v>0</v>
      </c>
      <c r="K15" s="63">
        <f>3.58*I15</f>
        <v>0</v>
      </c>
      <c r="L15" s="64">
        <f>0.62*0.28*0.5*I15</f>
        <v>0</v>
      </c>
    </row>
    <row r="16" ht="18.75" customHeight="1" spans="1:12">
      <c r="A16" s="59">
        <v>4549509623892</v>
      </c>
      <c r="B16" s="60" t="s">
        <v>29</v>
      </c>
      <c r="C16" s="61"/>
      <c r="D16" s="61"/>
      <c r="E16" s="61"/>
      <c r="F16" s="61"/>
      <c r="G16" s="61">
        <f>I16*8</f>
        <v>0</v>
      </c>
      <c r="H16" s="61" t="s">
        <v>26</v>
      </c>
      <c r="I16" s="61">
        <v>0</v>
      </c>
      <c r="J16" s="62">
        <f>2.774*I16</f>
        <v>0</v>
      </c>
      <c r="K16" s="63">
        <f>3.35*I16</f>
        <v>0</v>
      </c>
      <c r="L16" s="64">
        <f>0.5*0.28*0.42*I16</f>
        <v>0</v>
      </c>
    </row>
    <row r="17" ht="18.75" customHeight="1" spans="1:12">
      <c r="A17" s="59">
        <v>4549509623908</v>
      </c>
      <c r="B17" s="60" t="s">
        <v>30</v>
      </c>
      <c r="C17" s="61"/>
      <c r="D17" s="61"/>
      <c r="E17" s="61"/>
      <c r="F17" s="61"/>
      <c r="G17" s="61">
        <f t="shared" si="0"/>
        <v>996</v>
      </c>
      <c r="H17" s="61" t="s">
        <v>26</v>
      </c>
      <c r="I17" s="61">
        <v>166</v>
      </c>
      <c r="J17" s="62">
        <f>3.853*I17</f>
        <v>639.598</v>
      </c>
      <c r="K17" s="63">
        <f>4.82*I17</f>
        <v>800.12</v>
      </c>
      <c r="L17" s="64">
        <f>0.54*0.42*0.5*I17</f>
        <v>18.8244</v>
      </c>
    </row>
    <row r="18" ht="18.75" customHeight="1" spans="1:12">
      <c r="A18" s="59">
        <v>4549509623915</v>
      </c>
      <c r="B18" s="60" t="s">
        <v>31</v>
      </c>
      <c r="C18" s="61"/>
      <c r="D18" s="61"/>
      <c r="E18" s="61"/>
      <c r="F18" s="61"/>
      <c r="G18" s="61">
        <f t="shared" si="0"/>
        <v>600</v>
      </c>
      <c r="H18" s="61" t="s">
        <v>26</v>
      </c>
      <c r="I18" s="61">
        <v>100</v>
      </c>
      <c r="J18" s="62">
        <f>3.048*I18</f>
        <v>304.8</v>
      </c>
      <c r="K18" s="63">
        <f>3.8*I18</f>
        <v>380</v>
      </c>
      <c r="L18" s="64">
        <f>0.68*0.28*0.42*I18</f>
        <v>7.9968</v>
      </c>
    </row>
    <row r="19" s="1" customFormat="1" ht="18.75" customHeight="1" spans="1:12">
      <c r="A19" s="59">
        <v>4549509623922</v>
      </c>
      <c r="B19" s="60" t="s">
        <v>32</v>
      </c>
      <c r="C19" s="61"/>
      <c r="D19" s="61"/>
      <c r="E19" s="61"/>
      <c r="F19" s="61"/>
      <c r="G19" s="61">
        <f t="shared" si="0"/>
        <v>300</v>
      </c>
      <c r="H19" s="61" t="s">
        <v>26</v>
      </c>
      <c r="I19" s="61">
        <v>50</v>
      </c>
      <c r="J19" s="62">
        <f>2.833*I19</f>
        <v>141.65</v>
      </c>
      <c r="K19" s="63">
        <f>3.58*I19</f>
        <v>179</v>
      </c>
      <c r="L19" s="64">
        <f>0.62*0.28*0.5*I19</f>
        <v>4.34</v>
      </c>
    </row>
    <row r="20" ht="18.75" customHeight="1" spans="1:12">
      <c r="A20" s="59">
        <v>4549509623939</v>
      </c>
      <c r="B20" s="60" t="s">
        <v>33</v>
      </c>
      <c r="C20" s="61"/>
      <c r="D20" s="61"/>
      <c r="E20" s="61"/>
      <c r="F20" s="61"/>
      <c r="G20" s="61">
        <f>I20*8</f>
        <v>400</v>
      </c>
      <c r="H20" s="61" t="s">
        <v>26</v>
      </c>
      <c r="I20" s="61">
        <v>50</v>
      </c>
      <c r="J20" s="62">
        <f>2.784*I20</f>
        <v>139.2</v>
      </c>
      <c r="K20" s="63">
        <f>3.36*I20</f>
        <v>168</v>
      </c>
      <c r="L20" s="64">
        <f>0.5*0.28*0.42*I20</f>
        <v>2.94</v>
      </c>
    </row>
    <row r="21" ht="18.75" customHeight="1" spans="1:12">
      <c r="A21" s="100" t="s">
        <v>34</v>
      </c>
      <c r="B21" s="60" t="s">
        <v>35</v>
      </c>
      <c r="C21" s="61"/>
      <c r="D21" s="61"/>
      <c r="E21" s="61"/>
      <c r="F21" s="61"/>
      <c r="G21" s="61">
        <f>I21*10</f>
        <v>360</v>
      </c>
      <c r="H21" s="61" t="s">
        <v>26</v>
      </c>
      <c r="I21" s="61">
        <v>36</v>
      </c>
      <c r="J21" s="62">
        <f t="shared" ref="J21:J24" si="1">2.2*I21</f>
        <v>79.2</v>
      </c>
      <c r="K21" s="63">
        <f t="shared" ref="K21:K24" si="2">3*I21</f>
        <v>108</v>
      </c>
      <c r="L21" s="64">
        <f t="shared" ref="L21:L24" si="3">0.41*0.11*0.27*I21</f>
        <v>0.438372</v>
      </c>
    </row>
    <row r="22" s="2" customFormat="1" ht="18.75" customHeight="1" spans="1:12">
      <c r="A22" s="100" t="s">
        <v>36</v>
      </c>
      <c r="B22" s="60" t="s">
        <v>37</v>
      </c>
      <c r="C22" s="61"/>
      <c r="D22" s="61"/>
      <c r="E22" s="61"/>
      <c r="F22" s="61"/>
      <c r="G22" s="61">
        <f>I22*10</f>
        <v>240</v>
      </c>
      <c r="H22" s="61" t="s">
        <v>26</v>
      </c>
      <c r="I22" s="61">
        <v>24</v>
      </c>
      <c r="J22" s="62">
        <f t="shared" si="1"/>
        <v>52.8</v>
      </c>
      <c r="K22" s="63">
        <f t="shared" si="2"/>
        <v>72</v>
      </c>
      <c r="L22" s="64">
        <f t="shared" si="3"/>
        <v>0.292248</v>
      </c>
    </row>
    <row r="23" s="3" customFormat="1" ht="18.75" customHeight="1" spans="1:12">
      <c r="A23" s="100" t="s">
        <v>38</v>
      </c>
      <c r="B23" s="60" t="s">
        <v>39</v>
      </c>
      <c r="C23" s="61"/>
      <c r="D23" s="61"/>
      <c r="E23" s="61"/>
      <c r="F23" s="61"/>
      <c r="G23" s="61">
        <f t="shared" si="0"/>
        <v>180</v>
      </c>
      <c r="H23" s="61" t="s">
        <v>26</v>
      </c>
      <c r="I23" s="61">
        <v>30</v>
      </c>
      <c r="J23" s="62">
        <f t="shared" ref="J23:J26" si="4">2.6*I23</f>
        <v>78</v>
      </c>
      <c r="K23" s="63">
        <f t="shared" ref="K23:K26" si="5">4.6*I23</f>
        <v>138</v>
      </c>
      <c r="L23" s="64">
        <f t="shared" ref="L23:L26" si="6">0.41*0.35*0.5*I23</f>
        <v>2.1525</v>
      </c>
    </row>
    <row r="24" customFormat="1" ht="18.75" customHeight="1" spans="1:12">
      <c r="A24" s="100" t="s">
        <v>40</v>
      </c>
      <c r="B24" s="60" t="s">
        <v>41</v>
      </c>
      <c r="C24" s="61"/>
      <c r="D24" s="61"/>
      <c r="E24" s="61"/>
      <c r="F24" s="61"/>
      <c r="G24" s="61">
        <f t="shared" si="0"/>
        <v>90</v>
      </c>
      <c r="H24" s="61" t="s">
        <v>26</v>
      </c>
      <c r="I24" s="61">
        <v>15</v>
      </c>
      <c r="J24" s="62">
        <f t="shared" si="4"/>
        <v>39</v>
      </c>
      <c r="K24" s="63">
        <f t="shared" si="5"/>
        <v>69</v>
      </c>
      <c r="L24" s="64">
        <f t="shared" si="6"/>
        <v>1.07625</v>
      </c>
    </row>
    <row r="25" s="4" customFormat="1" ht="18.75" customHeight="1" spans="1:12">
      <c r="A25" s="65" t="s">
        <v>42</v>
      </c>
      <c r="B25" s="66" t="s">
        <v>43</v>
      </c>
      <c r="C25" s="66"/>
      <c r="D25" s="66"/>
      <c r="E25" s="66"/>
      <c r="F25" s="66"/>
      <c r="G25" s="61">
        <f t="shared" si="0"/>
        <v>90</v>
      </c>
      <c r="H25" s="61" t="s">
        <v>26</v>
      </c>
      <c r="I25" s="61">
        <v>15</v>
      </c>
      <c r="J25" s="62">
        <f>7.16*I25</f>
        <v>107.4</v>
      </c>
      <c r="K25" s="63">
        <f>7.85*I25</f>
        <v>117.75</v>
      </c>
      <c r="L25" s="64">
        <f>0.54*0.42*0.5*I25</f>
        <v>1.701</v>
      </c>
    </row>
    <row r="26" s="4" customFormat="1" ht="18.75" customHeight="1" spans="1:12">
      <c r="A26" s="65" t="s">
        <v>44</v>
      </c>
      <c r="B26" s="66" t="s">
        <v>45</v>
      </c>
      <c r="C26" s="66"/>
      <c r="D26" s="66"/>
      <c r="E26" s="66"/>
      <c r="F26" s="66"/>
      <c r="G26" s="61">
        <f t="shared" si="0"/>
        <v>60</v>
      </c>
      <c r="H26" s="61" t="s">
        <v>26</v>
      </c>
      <c r="I26" s="61">
        <v>10</v>
      </c>
      <c r="J26" s="62">
        <f>5.3*I26</f>
        <v>53</v>
      </c>
      <c r="K26" s="63">
        <f>5.6*I26</f>
        <v>56</v>
      </c>
      <c r="L26" s="64">
        <f>0.68*0.28*0.42*I26</f>
        <v>0.79968</v>
      </c>
    </row>
    <row r="27" s="4" customFormat="1" ht="18.75" customHeight="1" spans="1:12">
      <c r="A27" s="67"/>
      <c r="B27" s="68" t="s">
        <v>46</v>
      </c>
      <c r="C27" s="68"/>
      <c r="D27" s="68"/>
      <c r="E27" s="68"/>
      <c r="F27" s="68"/>
      <c r="G27" s="69">
        <f>SUM(G13:G26)</f>
        <v>3316</v>
      </c>
      <c r="H27" s="61"/>
      <c r="I27" s="61">
        <f>SUM(I13:I26)</f>
        <v>496</v>
      </c>
      <c r="J27" s="62">
        <f>SUM(J13:J26)</f>
        <v>1634.648</v>
      </c>
      <c r="K27" s="63">
        <f>SUM(K13:K26)</f>
        <v>2087.87</v>
      </c>
      <c r="L27" s="64">
        <f>SUM(L13:L24)</f>
        <v>38.06057</v>
      </c>
    </row>
    <row r="28" s="4" customFormat="1" ht="18.75" customHeight="1" spans="1:12">
      <c r="A28" s="70"/>
      <c r="B28" s="71"/>
      <c r="C28" s="71"/>
      <c r="D28" s="71"/>
      <c r="E28" s="71"/>
      <c r="F28" s="71"/>
      <c r="G28" s="72"/>
      <c r="H28" s="73"/>
      <c r="I28" s="73"/>
      <c r="J28" s="74"/>
      <c r="K28" s="75"/>
      <c r="L28" s="76"/>
    </row>
    <row r="29" spans="1:12">
      <c r="A29" s="77"/>
      <c r="B29" s="27"/>
      <c r="C29" s="27"/>
      <c r="D29" s="27"/>
      <c r="E29" s="27"/>
      <c r="F29" s="27"/>
      <c r="G29" s="27"/>
      <c r="H29" s="27"/>
      <c r="I29" s="27"/>
      <c r="J29" s="78"/>
      <c r="K29" s="79"/>
      <c r="L29" s="80"/>
    </row>
    <row r="30" spans="1:12">
      <c r="A30" s="81"/>
      <c r="B30" s="82"/>
      <c r="C30" s="82"/>
      <c r="D30" s="83" t="s">
        <v>47</v>
      </c>
      <c r="E30" s="83"/>
      <c r="F30" s="84"/>
      <c r="G30" s="69">
        <f>G27</f>
        <v>3316</v>
      </c>
      <c r="H30" s="61" t="s">
        <v>26</v>
      </c>
      <c r="I30" s="85" t="s">
        <v>48</v>
      </c>
      <c r="J30" s="86">
        <f>J27</f>
        <v>1634.648</v>
      </c>
      <c r="K30" s="87">
        <f>K27</f>
        <v>2087.87</v>
      </c>
      <c r="L30" s="88">
        <f>L27</f>
        <v>38.06057</v>
      </c>
    </row>
    <row r="31" ht="14.75" spans="1:12">
      <c r="A31" s="89"/>
      <c r="B31" s="90"/>
      <c r="C31" s="90"/>
      <c r="D31" s="90"/>
      <c r="E31" s="90"/>
      <c r="F31" s="91"/>
      <c r="G31" s="90"/>
      <c r="H31" s="90"/>
      <c r="I31" s="92"/>
      <c r="J31" s="93"/>
      <c r="K31" s="94"/>
      <c r="L31" s="95"/>
    </row>
    <row r="32" spans="1:12">
      <c r="A32" s="96"/>
      <c r="B32" s="96"/>
      <c r="C32" s="96"/>
      <c r="D32" s="96"/>
      <c r="E32" s="96"/>
      <c r="F32" s="96"/>
      <c r="G32" s="97"/>
      <c r="H32" s="97"/>
      <c r="I32" s="96"/>
      <c r="J32" s="98"/>
      <c r="K32" s="99"/>
      <c r="L32" s="96"/>
    </row>
    <row r="33" spans="1:12">
      <c r="A33" s="97"/>
      <c r="B33" s="97"/>
      <c r="C33" s="97"/>
      <c r="D33" s="97"/>
      <c r="E33" s="97"/>
      <c r="F33" s="97"/>
      <c r="G33" s="97"/>
      <c r="H33" s="97"/>
      <c r="I33" s="96"/>
      <c r="J33" s="98"/>
      <c r="K33" s="99"/>
      <c r="L33" s="96"/>
    </row>
    <row r="34" spans="1:12">
      <c r="A34" s="17" t="s">
        <v>49</v>
      </c>
      <c r="B34" s="97"/>
      <c r="C34" s="97"/>
      <c r="D34" s="97"/>
      <c r="E34" s="97"/>
      <c r="F34" s="97"/>
      <c r="G34" s="97"/>
      <c r="H34" s="97"/>
      <c r="I34" s="96"/>
      <c r="J34" s="98"/>
      <c r="K34" s="99"/>
      <c r="L34" s="96"/>
    </row>
    <row r="35" spans="1:12">
      <c r="A35" s="97"/>
      <c r="B35" s="97"/>
      <c r="C35" s="97"/>
      <c r="D35" s="97"/>
      <c r="E35" s="97"/>
      <c r="F35" s="97"/>
      <c r="G35" s="97"/>
      <c r="H35" s="97"/>
      <c r="I35" s="96"/>
      <c r="J35" s="98"/>
      <c r="K35" s="99"/>
      <c r="L35" s="96"/>
    </row>
  </sheetData>
  <mergeCells count="33">
    <mergeCell ref="A2:L2"/>
    <mergeCell ref="A3:L3"/>
    <mergeCell ref="A4:L4"/>
    <mergeCell ref="A5:I5"/>
    <mergeCell ref="K5:L5"/>
    <mergeCell ref="A6:I6"/>
    <mergeCell ref="K6:L6"/>
    <mergeCell ref="A7:I7"/>
    <mergeCell ref="K7:L7"/>
    <mergeCell ref="A8:C8"/>
    <mergeCell ref="D8:I8"/>
    <mergeCell ref="K8:L8"/>
    <mergeCell ref="A9:L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D30:F30"/>
  </mergeCells>
  <pageMargins left="0.708661417322835" right="0.275" top="0.748031496062992" bottom="0.748031496062992" header="0.31496062992126" footer="0.31496062992126"/>
  <pageSetup paperSize="9" scale="73" orientation="portrait"/>
  <headerFooter/>
  <ignoredErrors>
    <ignoredError sqref="G16" formula="1"/>
    <ignoredError sqref="A21:A22 A24:A2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WPS_1714124356</cp:lastModifiedBy>
  <dcterms:created xsi:type="dcterms:W3CDTF">2015-06-05T18:17:00Z</dcterms:created>
  <cp:lastPrinted>2020-12-07T01:46:00Z</cp:lastPrinted>
  <dcterms:modified xsi:type="dcterms:W3CDTF">2026-01-21T07:02:06Z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BED0A011BA4B47A5B3E7ECDF462DB679</vt:lpwstr>
  </property>
  <property fmtid="{D5CDD505-2E9C-101B-9397-08002B2CF9AE}" pid="4" name="CalculationRule">
    <vt:i4>0</vt:i4>
  </property>
</Properties>
</file>